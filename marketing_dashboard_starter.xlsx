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uchi\Downloads\"/>
    </mc:Choice>
  </mc:AlternateContent>
  <xr:revisionPtr revIDLastSave="0" documentId="13_ncr:1_{04E0B73A-34DA-4361-B262-64C2F93BDBE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ampaign Data" sheetId="1" r:id="rId1"/>
    <sheet name="Dashboard" sheetId="2" r:id="rId2"/>
    <sheet name="Dashboard Calculations" sheetId="3" state="hidden" r:id="rId3"/>
  </sheets>
  <calcPr calcId="181029"/>
</workbook>
</file>

<file path=xl/calcChain.xml><?xml version="1.0" encoding="utf-8"?>
<calcChain xmlns="http://schemas.openxmlformats.org/spreadsheetml/2006/main">
  <c r="C4" i="2" l="1"/>
  <c r="K9" i="3"/>
  <c r="K8" i="3"/>
  <c r="K7" i="3"/>
  <c r="K6" i="3"/>
  <c r="K5" i="3"/>
  <c r="K4" i="3"/>
  <c r="H10" i="3"/>
  <c r="H9" i="3"/>
  <c r="H8" i="3"/>
  <c r="E8" i="3"/>
  <c r="E7" i="3"/>
  <c r="E6" i="3"/>
  <c r="D24" i="2"/>
  <c r="C24" i="2"/>
  <c r="B24" i="2"/>
  <c r="E4" i="2"/>
  <c r="A4" i="2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  <c r="H3" i="1"/>
  <c r="G4" i="2" l="1"/>
</calcChain>
</file>

<file path=xl/sharedStrings.xml><?xml version="1.0" encoding="utf-8"?>
<sst xmlns="http://schemas.openxmlformats.org/spreadsheetml/2006/main" count="108" uniqueCount="33">
  <si>
    <t>Campaign</t>
  </si>
  <si>
    <t>Platform</t>
  </si>
  <si>
    <t>Product</t>
  </si>
  <si>
    <t>Month</t>
  </si>
  <si>
    <t>Spend (₹)</t>
  </si>
  <si>
    <t>Leads</t>
  </si>
  <si>
    <t>Conversions</t>
  </si>
  <si>
    <t>Glow Serum Launch</t>
  </si>
  <si>
    <t>Instagram</t>
  </si>
  <si>
    <t>Serum</t>
  </si>
  <si>
    <t>Jan</t>
  </si>
  <si>
    <t>Google</t>
  </si>
  <si>
    <t>YouTube</t>
  </si>
  <si>
    <t>Summer Skin</t>
  </si>
  <si>
    <t>Sunscreen</t>
  </si>
  <si>
    <t>Feb</t>
  </si>
  <si>
    <t>Fresh Face</t>
  </si>
  <si>
    <t>Face Wash</t>
  </si>
  <si>
    <t>Mar</t>
  </si>
  <si>
    <t>Apr</t>
  </si>
  <si>
    <t>May</t>
  </si>
  <si>
    <t>Jun</t>
  </si>
  <si>
    <t>MARKETING CAMPAIGN COMMAND CENTER</t>
  </si>
  <si>
    <t>Conversion Rate</t>
  </si>
  <si>
    <t>TOTAL AD SPEND</t>
  </si>
  <si>
    <t>TOTAL LEADS</t>
  </si>
  <si>
    <t>TOTAL CONVERSIONS</t>
  </si>
  <si>
    <t>CONVERSION RATE</t>
  </si>
  <si>
    <t>Total Conversions</t>
  </si>
  <si>
    <t>Youtube</t>
  </si>
  <si>
    <t>Cost Per Conversion</t>
  </si>
  <si>
    <t>Select Platform</t>
  </si>
  <si>
    <t>SELECTED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</si>
</sst>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\₹#,##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8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6324A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9" fontId="0" fillId="0" borderId="0" xfId="2" applyFont="1"/>
    <xf numFmtId="0" fontId="0" fillId="7" borderId="0" xfId="0" applyFill="1"/>
    <xf numFmtId="0" fontId="4" fillId="4" borderId="1" xfId="0" applyFont="1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2" fontId="0" fillId="3" borderId="1" xfId="0" applyNumberFormat="1" applyFill="1" applyBorder="1"/>
    <xf numFmtId="0" fontId="0" fillId="3" borderId="1" xfId="0" applyFill="1" applyBorder="1" applyAlignment="1">
      <alignment vertical="center" wrapText="1"/>
    </xf>
    <xf numFmtId="0" fontId="6" fillId="4" borderId="0" xfId="0" applyFont="1" applyFill="1"/>
    <xf numFmtId="0" fontId="6" fillId="7" borderId="1" xfId="0" applyFont="1" applyFill="1" applyBorder="1"/>
    <xf numFmtId="0" fontId="7" fillId="3" borderId="1" xfId="0" applyFont="1" applyFill="1" applyBorder="1"/>
    <xf numFmtId="2" fontId="7" fillId="3" borderId="1" xfId="0" applyNumberFormat="1" applyFont="1" applyFill="1" applyBorder="1"/>
    <xf numFmtId="0" fontId="8" fillId="7" borderId="1" xfId="0" applyFont="1" applyFill="1" applyBorder="1"/>
    <xf numFmtId="0" fontId="9" fillId="4" borderId="1" xfId="0" applyFont="1" applyFill="1" applyBorder="1"/>
    <xf numFmtId="0" fontId="2" fillId="2" borderId="0" xfId="0" applyFont="1" applyFill="1" applyAlignment="1">
      <alignment horizontal="center"/>
    </xf>
    <xf numFmtId="0" fontId="0" fillId="0" borderId="0" xfId="0"/>
    <xf numFmtId="0" fontId="4" fillId="4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3" borderId="1" xfId="1" applyNumberFormat="1" applyFont="1" applyFill="1" applyBorder="1" applyAlignment="1">
      <alignment horizontal="center"/>
    </xf>
    <xf numFmtId="9" fontId="5" fillId="6" borderId="1" xfId="0" applyNumberFormat="1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Conversions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Calculations'!$E$5</c:f>
              <c:strCache>
                <c:ptCount val="1"/>
                <c:pt idx="0">
                  <c:v>Total Conversions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Calculations'!$D$6:$D$8</c:f>
              <c:strCache>
                <c:ptCount val="3"/>
                <c:pt idx="0">
                  <c:v>Instagram</c:v>
                </c:pt>
                <c:pt idx="1">
                  <c:v>Google</c:v>
                </c:pt>
                <c:pt idx="2">
                  <c:v>Youtube</c:v>
                </c:pt>
              </c:strCache>
            </c:strRef>
          </c:cat>
          <c:val>
            <c:numRef>
              <c:f>'Dashboard Calculations'!$E$6:$E$8</c:f>
              <c:numCache>
                <c:formatCode>General</c:formatCode>
                <c:ptCount val="3"/>
                <c:pt idx="0">
                  <c:v>474</c:v>
                </c:pt>
                <c:pt idx="1">
                  <c:v>623</c:v>
                </c:pt>
                <c:pt idx="2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A6-4F63-B193-1E08E8E22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5562672"/>
        <c:axId val="319730992"/>
      </c:barChart>
      <c:catAx>
        <c:axId val="44556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730992"/>
        <c:crosses val="autoZero"/>
        <c:auto val="1"/>
        <c:lblAlgn val="ctr"/>
        <c:lblOffset val="100"/>
        <c:noMultiLvlLbl val="0"/>
      </c:catAx>
      <c:valAx>
        <c:axId val="31973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62672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Per Conversion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Calculations'!$H$7</c:f>
              <c:strCache>
                <c:ptCount val="1"/>
                <c:pt idx="0">
                  <c:v>Cost Per Conversion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'Dashboard Calculations'!$G$8:$G$10</c:f>
              <c:strCache>
                <c:ptCount val="3"/>
                <c:pt idx="0">
                  <c:v>Instagram</c:v>
                </c:pt>
                <c:pt idx="1">
                  <c:v>Google</c:v>
                </c:pt>
                <c:pt idx="2">
                  <c:v>Youtube</c:v>
                </c:pt>
              </c:strCache>
            </c:strRef>
          </c:cat>
          <c:val>
            <c:numRef>
              <c:f>'Dashboard Calculations'!$H$8:$H$10</c:f>
              <c:numCache>
                <c:formatCode>0.00</c:formatCode>
                <c:ptCount val="3"/>
                <c:pt idx="0">
                  <c:v>170.8860759493671</c:v>
                </c:pt>
                <c:pt idx="1">
                  <c:v>158.90850722311396</c:v>
                </c:pt>
                <c:pt idx="2">
                  <c:v>164.89361702127658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15-40C7-922A-A4EC4F1AF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5559888"/>
        <c:axId val="319753072"/>
      </c:barChart>
      <c:catAx>
        <c:axId val="44555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753072"/>
        <c:crosses val="autoZero"/>
        <c:auto val="1"/>
        <c:lblAlgn val="ctr"/>
        <c:lblOffset val="100"/>
        <c:noMultiLvlLbl val="0"/>
      </c:catAx>
      <c:valAx>
        <c:axId val="3197530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559888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Conversions by Selected Platform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Calculations'!$K$3</c:f>
              <c:strCache>
                <c:ptCount val="1"/>
                <c:pt idx="0">
                  <c:v>Conversions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'Dashboard Calculations'!$J$4:$J$9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'Dashboard Calculations'!$K$4:$K$9</c:f>
              <c:numCache>
                <c:formatCode>General</c:formatCode>
                <c:ptCount val="6"/>
                <c:pt idx="0">
                  <c:v>84</c:v>
                </c:pt>
                <c:pt idx="1">
                  <c:v>34</c:v>
                </c:pt>
                <c:pt idx="2">
                  <c:v>89</c:v>
                </c:pt>
                <c:pt idx="3">
                  <c:v>68</c:v>
                </c:pt>
                <c:pt idx="4">
                  <c:v>143</c:v>
                </c:pt>
                <c:pt idx="5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B3-4344-8BBD-31D3BCBC0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778000"/>
        <c:axId val="319743952"/>
      </c:barChart>
      <c:catAx>
        <c:axId val="59977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743952"/>
        <c:crosses val="autoZero"/>
        <c:auto val="1"/>
        <c:lblAlgn val="ctr"/>
        <c:lblOffset val="100"/>
        <c:noMultiLvlLbl val="0"/>
      </c:catAx>
      <c:valAx>
        <c:axId val="31974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778000"/>
        <c:crosses val="autoZero"/>
        <c:crossBetween val="between"/>
      </c:valAx>
      <c:spPr>
        <a:solidFill>
          <a:schemeClr val="bg1">
            <a:lumMod val="85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>
        <a:lumMod val="75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564080</xdr:colOff>
      <xdr:row>4</xdr:row>
      <xdr:rowOff>184522</xdr:rowOff>
    </xdr:from>
    <xdr:to>
      <xdr:col>7</xdr:col>
      <xdr:colOff>1235365</xdr:colOff>
      <xdr:row>19</xdr:row>
      <xdr:rowOff>103909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AC2BC3-3346-7A2E-A5BF-6B6516E37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923636</xdr:colOff>
      <xdr:row>5</xdr:row>
      <xdr:rowOff>0</xdr:rowOff>
    </xdr:from>
    <xdr:to>
      <xdr:col>5</xdr:col>
      <xdr:colOff>565728</xdr:colOff>
      <xdr:row>19</xdr:row>
      <xdr:rowOff>92363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52CA8A-FFE6-5691-0CF2-091331CF7C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</xdr:colOff>
      <xdr:row>4</xdr:row>
      <xdr:rowOff>172563</xdr:rowOff>
    </xdr:from>
    <xdr:to>
      <xdr:col>2</xdr:col>
      <xdr:colOff>912092</xdr:colOff>
      <xdr:row>19</xdr:row>
      <xdr:rowOff>92363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1DE3C1C-5004-C303-FF7F-E03ACAD61D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Table" displayName="CampaignTable" ref="A1:H19">
  <autoFilter ref="A1:H19" xr:uid="{00000000-0009-0000-0100-000001000000}"/>
  <tableColumns count="8">
    <tableColumn id="1" xr3:uid="{00000000-0010-0000-0000-000001000000}" name="Campaign"/>
    <tableColumn id="2" xr3:uid="{00000000-0010-0000-0000-000002000000}" name="Platform"/>
    <tableColumn id="3" xr3:uid="{00000000-0010-0000-0000-000003000000}" name="Product"/>
    <tableColumn id="4" xr3:uid="{00000000-0010-0000-0000-000004000000}" name="Month"/>
    <tableColumn id="5" xr3:uid="{00000000-0010-0000-0000-000005000000}" name="Spend (₹)"/>
    <tableColumn id="6" xr3:uid="{00000000-0010-0000-0000-000006000000}" name="Leads"/>
    <tableColumn id="7" xr3:uid="{00000000-0010-0000-0000-000007000000}" name="Conversions"/>
    <tableColumn id="8" xr3:uid="{29AF2610-B504-4774-8090-24054123EF90}" name="Conversion Rate" dataDxfId="0">
      <calculatedColumnFormula>CampaignTable[[#This Row],[Conversions]]/CampaignTable[[#This Row],[Leads]]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BBDF30-DC72-4AA5-8CD6-3134C9244AAC}">
  <we:reference id="wa200006009" version="2.1.3.10" store="en-US" storeType="OMEX"/>
  <we:alternateReferences>
    <we:reference id="WA200006009" version="2.1.3.1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pane ySplit="1" topLeftCell="A2" activePane="bottomLeft" state="frozen"/>
      <selection pane="bottomLeft" activeCell="B21" sqref="B21"/>
    </sheetView>
  </sheetViews>
  <sheetFormatPr defaultRowHeight="14.5" x14ac:dyDescent="0.35"/>
  <cols>
    <col min="1" max="1" width="24" customWidth="1"/>
    <col min="2" max="2" width="15" customWidth="1"/>
    <col min="3" max="3" width="16" customWidth="1"/>
    <col min="4" max="4" width="12" customWidth="1"/>
    <col min="5" max="5" width="14" customWidth="1"/>
    <col min="6" max="6" width="12" customWidth="1"/>
    <col min="7" max="7" width="15.54296875" bestFit="1" customWidth="1"/>
    <col min="8" max="8" width="16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23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 s="2">
        <v>12000</v>
      </c>
      <c r="F2">
        <v>420</v>
      </c>
      <c r="G2">
        <v>84</v>
      </c>
      <c r="H2" s="3">
        <f>CampaignTable[[#This Row],[Conversions]]/CampaignTable[[#This Row],[Leads]]</f>
        <v>0.2</v>
      </c>
    </row>
    <row r="3" spans="1:8" x14ac:dyDescent="0.35">
      <c r="A3" t="s">
        <v>7</v>
      </c>
      <c r="B3" t="s">
        <v>11</v>
      </c>
      <c r="C3" t="s">
        <v>9</v>
      </c>
      <c r="D3" t="s">
        <v>10</v>
      </c>
      <c r="E3" s="2">
        <v>15000</v>
      </c>
      <c r="F3">
        <v>510</v>
      </c>
      <c r="G3">
        <v>98</v>
      </c>
      <c r="H3" s="3">
        <f>CampaignTable[[#This Row],[Conversions]]/CampaignTable[[#This Row],[Leads]]</f>
        <v>0.19215686274509805</v>
      </c>
    </row>
    <row r="4" spans="1:8" x14ac:dyDescent="0.35">
      <c r="A4" t="s">
        <v>7</v>
      </c>
      <c r="B4" t="s">
        <v>12</v>
      </c>
      <c r="C4" t="s">
        <v>9</v>
      </c>
      <c r="D4" t="s">
        <v>10</v>
      </c>
      <c r="E4" s="2">
        <v>9000</v>
      </c>
      <c r="F4">
        <v>260</v>
      </c>
      <c r="G4">
        <v>52</v>
      </c>
      <c r="H4" s="3">
        <f>CampaignTable[[#This Row],[Conversions]]/CampaignTable[[#This Row],[Leads]]</f>
        <v>0.2</v>
      </c>
    </row>
    <row r="5" spans="1:8" x14ac:dyDescent="0.35">
      <c r="A5" t="s">
        <v>13</v>
      </c>
      <c r="B5" t="s">
        <v>8</v>
      </c>
      <c r="C5" t="s">
        <v>14</v>
      </c>
      <c r="D5" t="s">
        <v>15</v>
      </c>
      <c r="E5" s="2">
        <v>14000</v>
      </c>
      <c r="F5">
        <v>560</v>
      </c>
      <c r="G5">
        <v>34</v>
      </c>
      <c r="H5" s="3">
        <f>CampaignTable[[#This Row],[Conversions]]/CampaignTable[[#This Row],[Leads]]</f>
        <v>6.0714285714285714E-2</v>
      </c>
    </row>
    <row r="6" spans="1:8" x14ac:dyDescent="0.35">
      <c r="A6" t="s">
        <v>13</v>
      </c>
      <c r="B6" t="s">
        <v>11</v>
      </c>
      <c r="C6" t="s">
        <v>14</v>
      </c>
      <c r="D6" t="s">
        <v>15</v>
      </c>
      <c r="E6" s="2">
        <v>17000</v>
      </c>
      <c r="F6">
        <v>620</v>
      </c>
      <c r="G6">
        <v>56</v>
      </c>
      <c r="H6" s="3">
        <f>CampaignTable[[#This Row],[Conversions]]/CampaignTable[[#This Row],[Leads]]</f>
        <v>9.0322580645161285E-2</v>
      </c>
    </row>
    <row r="7" spans="1:8" x14ac:dyDescent="0.35">
      <c r="A7" t="s">
        <v>13</v>
      </c>
      <c r="B7" t="s">
        <v>12</v>
      </c>
      <c r="C7" t="s">
        <v>14</v>
      </c>
      <c r="D7" t="s">
        <v>15</v>
      </c>
      <c r="E7" s="2">
        <v>11000</v>
      </c>
      <c r="F7">
        <v>310</v>
      </c>
      <c r="G7">
        <v>67</v>
      </c>
      <c r="H7" s="3">
        <f>CampaignTable[[#This Row],[Conversions]]/CampaignTable[[#This Row],[Leads]]</f>
        <v>0.21612903225806451</v>
      </c>
    </row>
    <row r="8" spans="1:8" x14ac:dyDescent="0.35">
      <c r="A8" t="s">
        <v>16</v>
      </c>
      <c r="B8" t="s">
        <v>8</v>
      </c>
      <c r="C8" t="s">
        <v>17</v>
      </c>
      <c r="D8" t="s">
        <v>18</v>
      </c>
      <c r="E8" s="2">
        <v>10000</v>
      </c>
      <c r="F8">
        <v>380</v>
      </c>
      <c r="G8">
        <v>89</v>
      </c>
      <c r="H8" s="3">
        <f>CampaignTable[[#This Row],[Conversions]]/CampaignTable[[#This Row],[Leads]]</f>
        <v>0.23421052631578948</v>
      </c>
    </row>
    <row r="9" spans="1:8" x14ac:dyDescent="0.35">
      <c r="A9" t="s">
        <v>16</v>
      </c>
      <c r="B9" t="s">
        <v>11</v>
      </c>
      <c r="C9" t="s">
        <v>17</v>
      </c>
      <c r="D9" t="s">
        <v>18</v>
      </c>
      <c r="E9" s="2">
        <v>13000</v>
      </c>
      <c r="F9">
        <v>470</v>
      </c>
      <c r="G9">
        <v>94</v>
      </c>
      <c r="H9" s="3">
        <f>CampaignTable[[#This Row],[Conversions]]/CampaignTable[[#This Row],[Leads]]</f>
        <v>0.2</v>
      </c>
    </row>
    <row r="10" spans="1:8" x14ac:dyDescent="0.35">
      <c r="A10" t="s">
        <v>16</v>
      </c>
      <c r="B10" t="s">
        <v>12</v>
      </c>
      <c r="C10" t="s">
        <v>17</v>
      </c>
      <c r="D10" t="s">
        <v>18</v>
      </c>
      <c r="E10" s="2">
        <v>8000</v>
      </c>
      <c r="F10">
        <v>220</v>
      </c>
      <c r="G10">
        <v>56</v>
      </c>
      <c r="H10" s="3">
        <f>CampaignTable[[#This Row],[Conversions]]/CampaignTable[[#This Row],[Leads]]</f>
        <v>0.25454545454545452</v>
      </c>
    </row>
    <row r="11" spans="1:8" x14ac:dyDescent="0.35">
      <c r="A11" t="s">
        <v>7</v>
      </c>
      <c r="B11" t="s">
        <v>8</v>
      </c>
      <c r="C11" t="s">
        <v>9</v>
      </c>
      <c r="D11" t="s">
        <v>19</v>
      </c>
      <c r="E11" s="2">
        <v>16000</v>
      </c>
      <c r="F11">
        <v>610</v>
      </c>
      <c r="G11">
        <v>68</v>
      </c>
      <c r="H11" s="3">
        <f>CampaignTable[[#This Row],[Conversions]]/CampaignTable[[#This Row],[Leads]]</f>
        <v>0.11147540983606558</v>
      </c>
    </row>
    <row r="12" spans="1:8" x14ac:dyDescent="0.35">
      <c r="A12" t="s">
        <v>7</v>
      </c>
      <c r="B12" t="s">
        <v>11</v>
      </c>
      <c r="C12" t="s">
        <v>9</v>
      </c>
      <c r="D12" t="s">
        <v>19</v>
      </c>
      <c r="E12" s="2">
        <v>19000</v>
      </c>
      <c r="F12">
        <v>700</v>
      </c>
      <c r="G12">
        <v>112</v>
      </c>
      <c r="H12" s="3">
        <f>CampaignTable[[#This Row],[Conversions]]/CampaignTable[[#This Row],[Leads]]</f>
        <v>0.16</v>
      </c>
    </row>
    <row r="13" spans="1:8" x14ac:dyDescent="0.35">
      <c r="A13" t="s">
        <v>7</v>
      </c>
      <c r="B13" t="s">
        <v>12</v>
      </c>
      <c r="C13" t="s">
        <v>9</v>
      </c>
      <c r="D13" t="s">
        <v>19</v>
      </c>
      <c r="E13" s="2">
        <v>12000</v>
      </c>
      <c r="F13">
        <v>350</v>
      </c>
      <c r="G13">
        <v>78</v>
      </c>
      <c r="H13" s="3">
        <f>CampaignTable[[#This Row],[Conversions]]/CampaignTable[[#This Row],[Leads]]</f>
        <v>0.22285714285714286</v>
      </c>
    </row>
    <row r="14" spans="1:8" x14ac:dyDescent="0.35">
      <c r="A14" t="s">
        <v>13</v>
      </c>
      <c r="B14" t="s">
        <v>8</v>
      </c>
      <c r="C14" t="s">
        <v>14</v>
      </c>
      <c r="D14" t="s">
        <v>20</v>
      </c>
      <c r="E14" s="2">
        <v>18000</v>
      </c>
      <c r="F14">
        <v>760</v>
      </c>
      <c r="G14">
        <v>143</v>
      </c>
      <c r="H14" s="3">
        <f>CampaignTable[[#This Row],[Conversions]]/CampaignTable[[#This Row],[Leads]]</f>
        <v>0.18815789473684211</v>
      </c>
    </row>
    <row r="15" spans="1:8" x14ac:dyDescent="0.35">
      <c r="A15" t="s">
        <v>13</v>
      </c>
      <c r="B15" t="s">
        <v>11</v>
      </c>
      <c r="C15" t="s">
        <v>14</v>
      </c>
      <c r="D15" t="s">
        <v>20</v>
      </c>
      <c r="E15" s="2">
        <v>21000</v>
      </c>
      <c r="F15">
        <v>820</v>
      </c>
      <c r="G15">
        <v>164</v>
      </c>
      <c r="H15" s="3">
        <f>CampaignTable[[#This Row],[Conversions]]/CampaignTable[[#This Row],[Leads]]</f>
        <v>0.2</v>
      </c>
    </row>
    <row r="16" spans="1:8" x14ac:dyDescent="0.35">
      <c r="A16" t="s">
        <v>13</v>
      </c>
      <c r="B16" t="s">
        <v>12</v>
      </c>
      <c r="C16" t="s">
        <v>14</v>
      </c>
      <c r="D16" t="s">
        <v>20</v>
      </c>
      <c r="E16" s="2">
        <v>13000</v>
      </c>
      <c r="F16">
        <v>410</v>
      </c>
      <c r="G16">
        <v>45</v>
      </c>
      <c r="H16" s="3">
        <f>CampaignTable[[#This Row],[Conversions]]/CampaignTable[[#This Row],[Leads]]</f>
        <v>0.10975609756097561</v>
      </c>
    </row>
    <row r="17" spans="1:8" x14ac:dyDescent="0.35">
      <c r="A17" t="s">
        <v>16</v>
      </c>
      <c r="B17" t="s">
        <v>8</v>
      </c>
      <c r="C17" t="s">
        <v>17</v>
      </c>
      <c r="D17" t="s">
        <v>21</v>
      </c>
      <c r="E17" s="2">
        <v>11000</v>
      </c>
      <c r="F17">
        <v>450</v>
      </c>
      <c r="G17">
        <v>56</v>
      </c>
      <c r="H17" s="3">
        <f>CampaignTable[[#This Row],[Conversions]]/CampaignTable[[#This Row],[Leads]]</f>
        <v>0.12444444444444444</v>
      </c>
    </row>
    <row r="18" spans="1:8" x14ac:dyDescent="0.35">
      <c r="A18" t="s">
        <v>16</v>
      </c>
      <c r="B18" t="s">
        <v>11</v>
      </c>
      <c r="C18" t="s">
        <v>17</v>
      </c>
      <c r="D18" t="s">
        <v>21</v>
      </c>
      <c r="E18" s="2">
        <v>14000</v>
      </c>
      <c r="F18">
        <v>540</v>
      </c>
      <c r="G18">
        <v>99</v>
      </c>
      <c r="H18" s="3">
        <f>CampaignTable[[#This Row],[Conversions]]/CampaignTable[[#This Row],[Leads]]</f>
        <v>0.18333333333333332</v>
      </c>
    </row>
    <row r="19" spans="1:8" x14ac:dyDescent="0.35">
      <c r="A19" t="s">
        <v>16</v>
      </c>
      <c r="B19" t="s">
        <v>12</v>
      </c>
      <c r="C19" t="s">
        <v>17</v>
      </c>
      <c r="D19" t="s">
        <v>21</v>
      </c>
      <c r="E19" s="2">
        <v>9000</v>
      </c>
      <c r="F19">
        <v>280</v>
      </c>
      <c r="G19">
        <v>78</v>
      </c>
      <c r="H19" s="3">
        <f>CampaignTable[[#This Row],[Conversions]]/CampaignTable[[#This Row],[Leads]]</f>
        <v>0.27857142857142858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showGridLines="0" tabSelected="1" zoomScale="55" zoomScaleNormal="55" zoomScalePageLayoutView="52" workbookViewId="0">
      <selection activeCell="F24" sqref="F24"/>
    </sheetView>
  </sheetViews>
  <sheetFormatPr defaultRowHeight="14.5" x14ac:dyDescent="0.35"/>
  <cols>
    <col min="1" max="1" width="19.26953125" bestFit="1" customWidth="1"/>
    <col min="2" max="2" width="28.81640625" bestFit="1" customWidth="1"/>
    <col min="3" max="3" width="18" customWidth="1"/>
    <col min="4" max="4" width="27" bestFit="1" customWidth="1"/>
    <col min="5" max="8" width="18" customWidth="1"/>
  </cols>
  <sheetData>
    <row r="1" spans="1:8" ht="23.5" x14ac:dyDescent="0.55000000000000004">
      <c r="A1" s="16" t="s">
        <v>22</v>
      </c>
      <c r="B1" s="17"/>
      <c r="C1" s="17"/>
      <c r="D1" s="17"/>
      <c r="E1" s="17"/>
      <c r="F1" s="17"/>
      <c r="G1" s="17"/>
      <c r="H1" s="17"/>
    </row>
    <row r="2" spans="1:8" x14ac:dyDescent="0.35">
      <c r="A2" s="4"/>
      <c r="B2" s="4"/>
      <c r="C2" s="4"/>
      <c r="D2" s="4"/>
      <c r="E2" s="4"/>
      <c r="F2" s="4"/>
      <c r="G2" s="4"/>
      <c r="H2" s="4"/>
    </row>
    <row r="3" spans="1:8" x14ac:dyDescent="0.35">
      <c r="A3" s="18" t="s">
        <v>24</v>
      </c>
      <c r="B3" s="18"/>
      <c r="C3" s="20" t="s">
        <v>25</v>
      </c>
      <c r="D3" s="20"/>
      <c r="E3" s="18" t="s">
        <v>26</v>
      </c>
      <c r="F3" s="18"/>
      <c r="G3" s="20" t="s">
        <v>27</v>
      </c>
      <c r="H3" s="20"/>
    </row>
    <row r="4" spans="1:8" ht="14.5" customHeight="1" x14ac:dyDescent="0.35">
      <c r="A4" s="19">
        <f>SUM(CampaignTable[Spend (₹)])</f>
        <v>242000</v>
      </c>
      <c r="B4" s="19"/>
      <c r="C4" s="21">
        <f>SUM('Campaign Data'!F2:F19)</f>
        <v>8670</v>
      </c>
      <c r="D4" s="21"/>
      <c r="E4" s="22">
        <f>SUM('Campaign Data'!G2:G19)</f>
        <v>1473</v>
      </c>
      <c r="F4" s="22"/>
      <c r="G4" s="23">
        <f>Dashboard!E4/Dashboard!C4</f>
        <v>0.16989619377162629</v>
      </c>
      <c r="H4" s="23"/>
    </row>
    <row r="5" spans="1:8" ht="14.5" customHeight="1" x14ac:dyDescent="0.35">
      <c r="A5" s="19"/>
      <c r="B5" s="19"/>
      <c r="C5" s="21"/>
      <c r="D5" s="21"/>
      <c r="E5" s="22"/>
      <c r="F5" s="22"/>
      <c r="G5" s="23"/>
      <c r="H5" s="23"/>
    </row>
    <row r="20" spans="1:8" x14ac:dyDescent="0.35">
      <c r="A20" s="4"/>
      <c r="B20" s="4"/>
      <c r="C20" s="4"/>
      <c r="D20" s="4"/>
      <c r="E20" s="4"/>
      <c r="F20" s="4"/>
      <c r="G20" s="4"/>
      <c r="H20" s="4"/>
    </row>
    <row r="21" spans="1:8" ht="26" x14ac:dyDescent="0.6">
      <c r="A21" s="4"/>
      <c r="B21" s="15" t="s">
        <v>31</v>
      </c>
      <c r="C21" s="14" t="s">
        <v>8</v>
      </c>
      <c r="D21" s="4"/>
      <c r="E21" s="4"/>
      <c r="F21" s="4"/>
      <c r="G21" s="4"/>
      <c r="H21" s="4"/>
    </row>
    <row r="22" spans="1:8" x14ac:dyDescent="0.35">
      <c r="A22" s="4"/>
      <c r="B22" s="4"/>
      <c r="C22" s="4"/>
      <c r="D22" s="4"/>
      <c r="E22" s="4"/>
      <c r="F22" s="4"/>
      <c r="G22" s="4"/>
      <c r="H22" s="4"/>
    </row>
    <row r="23" spans="1:8" ht="21" x14ac:dyDescent="0.5">
      <c r="A23" s="4"/>
      <c r="B23" s="10" t="s">
        <v>32</v>
      </c>
      <c r="C23" s="11" t="s">
        <v>6</v>
      </c>
      <c r="D23" s="11" t="s">
        <v>30</v>
      </c>
      <c r="E23" s="4"/>
      <c r="F23" s="4"/>
      <c r="G23" s="4"/>
      <c r="H23" s="4"/>
    </row>
    <row r="24" spans="1:8" ht="28.5" x14ac:dyDescent="0.65">
      <c r="A24" s="4"/>
      <c r="B24" s="12" t="str">
        <f>C21</f>
        <v>Instagram</v>
      </c>
      <c r="C24" s="12">
        <f>SUMIF(CampaignTable[Platform],Dashboard!C21,CampaignTable[Conversions])</f>
        <v>474</v>
      </c>
      <c r="D24" s="13">
        <f>SUMIF(CampaignTable[Platform],Dashboard!C21,CampaignTable[Spend (₹)])/SUMIF(CampaignTable[Platform],Dashboard!C21,CampaignTable[Conversions])</f>
        <v>170.8860759493671</v>
      </c>
      <c r="E24" s="4"/>
      <c r="F24" s="4"/>
      <c r="G24" s="4"/>
      <c r="H24" s="4"/>
    </row>
    <row r="25" spans="1:8" x14ac:dyDescent="0.35">
      <c r="A25" s="4"/>
      <c r="B25" s="4"/>
      <c r="C25" s="4"/>
      <c r="D25" s="4"/>
      <c r="E25" s="4"/>
      <c r="F25" s="4"/>
      <c r="G25" s="4"/>
      <c r="H25" s="4"/>
    </row>
    <row r="26" spans="1:8" x14ac:dyDescent="0.35">
      <c r="A26" s="4"/>
      <c r="B26" s="4"/>
      <c r="C26" s="4"/>
      <c r="D26" s="4"/>
      <c r="E26" s="4"/>
      <c r="F26" s="4"/>
      <c r="G26" s="4"/>
      <c r="H26" s="4"/>
    </row>
    <row r="27" spans="1:8" x14ac:dyDescent="0.35">
      <c r="A27" s="4"/>
      <c r="B27" s="4"/>
      <c r="C27" s="4"/>
      <c r="D27" s="4"/>
      <c r="E27" s="4"/>
      <c r="F27" s="4"/>
      <c r="G27" s="4"/>
      <c r="H27" s="4"/>
    </row>
    <row r="28" spans="1:8" x14ac:dyDescent="0.35">
      <c r="A28" s="4"/>
      <c r="B28" s="4"/>
      <c r="C28" s="4"/>
      <c r="D28" s="4"/>
      <c r="E28" s="4"/>
      <c r="F28" s="4"/>
      <c r="G28" s="4"/>
      <c r="H28" s="4"/>
    </row>
    <row r="29" spans="1:8" x14ac:dyDescent="0.35">
      <c r="A29" s="4"/>
      <c r="B29" s="4"/>
      <c r="C29" s="4"/>
      <c r="D29" s="4"/>
      <c r="E29" s="4"/>
      <c r="F29" s="4"/>
      <c r="G29" s="4"/>
      <c r="H29" s="4"/>
    </row>
    <row r="30" spans="1:8" x14ac:dyDescent="0.35">
      <c r="A30" s="4"/>
      <c r="B30" s="4"/>
      <c r="C30" s="4"/>
      <c r="D30" s="4"/>
      <c r="E30" s="4"/>
      <c r="F30" s="4"/>
      <c r="G30" s="4"/>
      <c r="H30" s="4"/>
    </row>
    <row r="31" spans="1:8" x14ac:dyDescent="0.35">
      <c r="A31" s="4"/>
      <c r="B31" s="4"/>
      <c r="C31" s="4"/>
      <c r="D31" s="4"/>
      <c r="E31" s="4"/>
      <c r="F31" s="4"/>
      <c r="G31" s="4"/>
      <c r="H31" s="4"/>
    </row>
    <row r="32" spans="1:8" x14ac:dyDescent="0.35">
      <c r="A32" s="4"/>
      <c r="B32" s="4"/>
      <c r="C32" s="4"/>
      <c r="D32" s="4"/>
      <c r="E32" s="4"/>
      <c r="F32" s="4"/>
      <c r="G32" s="4"/>
      <c r="H32" s="4"/>
    </row>
    <row r="33" spans="1:8" x14ac:dyDescent="0.35">
      <c r="A33" s="4"/>
      <c r="B33" s="4"/>
      <c r="C33" s="4"/>
      <c r="D33" s="4"/>
      <c r="E33" s="4"/>
      <c r="F33" s="4"/>
      <c r="G33" s="4"/>
      <c r="H33" s="4"/>
    </row>
    <row r="34" spans="1:8" x14ac:dyDescent="0.35">
      <c r="A34" s="4"/>
      <c r="B34" s="4"/>
      <c r="C34" s="4"/>
      <c r="D34" s="4"/>
      <c r="E34" s="4"/>
      <c r="F34" s="4"/>
      <c r="G34" s="4"/>
      <c r="H34" s="4"/>
    </row>
    <row r="35" spans="1:8" x14ac:dyDescent="0.35">
      <c r="A35" s="4"/>
      <c r="B35" s="4"/>
      <c r="C35" s="4"/>
      <c r="D35" s="4"/>
      <c r="E35" s="4"/>
      <c r="F35" s="4"/>
      <c r="G35" s="4"/>
      <c r="H35" s="4"/>
    </row>
    <row r="36" spans="1:8" x14ac:dyDescent="0.35">
      <c r="A36" s="4"/>
      <c r="B36" s="4"/>
      <c r="C36" s="4"/>
      <c r="D36" s="4"/>
      <c r="E36" s="4"/>
      <c r="F36" s="4"/>
      <c r="G36" s="4"/>
      <c r="H36" s="4"/>
    </row>
    <row r="37" spans="1:8" x14ac:dyDescent="0.35">
      <c r="A37" s="4"/>
      <c r="B37" s="4"/>
      <c r="C37" s="4"/>
      <c r="D37" s="4"/>
      <c r="E37" s="4"/>
      <c r="F37" s="4"/>
      <c r="G37" s="4"/>
      <c r="H37" s="4"/>
    </row>
    <row r="38" spans="1:8" x14ac:dyDescent="0.35">
      <c r="A38" s="4"/>
      <c r="B38" s="4"/>
      <c r="C38" s="4"/>
      <c r="D38" s="4"/>
      <c r="E38" s="4"/>
      <c r="F38" s="4"/>
      <c r="G38" s="4"/>
      <c r="H38" s="4"/>
    </row>
  </sheetData>
  <mergeCells count="9">
    <mergeCell ref="A1:H1"/>
    <mergeCell ref="A3:B3"/>
    <mergeCell ref="A4:B5"/>
    <mergeCell ref="C3:D3"/>
    <mergeCell ref="C4:D5"/>
    <mergeCell ref="E3:F3"/>
    <mergeCell ref="E4:F5"/>
    <mergeCell ref="G3:H3"/>
    <mergeCell ref="G4:H5"/>
  </mergeCells>
  <dataValidations count="1">
    <dataValidation type="list" allowBlank="1" showInputMessage="1" showErrorMessage="1" sqref="C21" xr:uid="{1FCBD8F6-54EC-4D58-BE61-B1A9FFC37576}">
      <formula1>"Instagram,Google,YouTube"</formula1>
    </dataValidation>
  </dataValidations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0EFAB-7888-4ED4-B3B5-CA971F6F67A9}">
  <dimension ref="D3:K10"/>
  <sheetViews>
    <sheetView workbookViewId="0">
      <selection activeCell="J3" sqref="J3:K9"/>
    </sheetView>
  </sheetViews>
  <sheetFormatPr defaultRowHeight="14.5" x14ac:dyDescent="0.35"/>
  <cols>
    <col min="5" max="5" width="15.81640625" bestFit="1" customWidth="1"/>
    <col min="8" max="8" width="17.81640625" bestFit="1" customWidth="1"/>
    <col min="11" max="11" width="8" bestFit="1" customWidth="1"/>
  </cols>
  <sheetData>
    <row r="3" spans="4:11" ht="29" x14ac:dyDescent="0.35">
      <c r="J3" s="6" t="s">
        <v>3</v>
      </c>
      <c r="K3" s="6" t="s">
        <v>6</v>
      </c>
    </row>
    <row r="4" spans="4:11" x14ac:dyDescent="0.35">
      <c r="J4" s="9" t="s">
        <v>10</v>
      </c>
      <c r="K4" s="9">
        <f>SUMIFS(CampaignTable[Conversions],CampaignTable[Platform],Dashboard!$C$21,CampaignTable[Month],'Dashboard Calculations'!J4)</f>
        <v>84</v>
      </c>
    </row>
    <row r="5" spans="4:11" x14ac:dyDescent="0.35">
      <c r="D5" s="5" t="s">
        <v>1</v>
      </c>
      <c r="E5" s="5" t="s">
        <v>28</v>
      </c>
      <c r="J5" s="9" t="s">
        <v>15</v>
      </c>
      <c r="K5" s="9">
        <f>SUMIFS(CampaignTable[Conversions],CampaignTable[Platform],Dashboard!$C$21,CampaignTable[Month],'Dashboard Calculations'!J5)</f>
        <v>34</v>
      </c>
    </row>
    <row r="6" spans="4:11" x14ac:dyDescent="0.35">
      <c r="D6" s="7" t="s">
        <v>8</v>
      </c>
      <c r="E6" s="7">
        <f>SUMIF(CampaignTable[Platform],'Campaign Data'!B8,CampaignTable[Conversions])</f>
        <v>474</v>
      </c>
      <c r="J6" s="9" t="s">
        <v>18</v>
      </c>
      <c r="K6" s="9">
        <f>SUMIFS(CampaignTable[Conversions],CampaignTable[Platform],Dashboard!$C$21,CampaignTable[Month],'Dashboard Calculations'!J6)</f>
        <v>89</v>
      </c>
    </row>
    <row r="7" spans="4:11" x14ac:dyDescent="0.35">
      <c r="D7" s="7" t="s">
        <v>11</v>
      </c>
      <c r="E7" s="7">
        <f>SUMIF(CampaignTable[Platform],'Campaign Data'!B9,CampaignTable[Conversions])</f>
        <v>623</v>
      </c>
      <c r="G7" s="5" t="s">
        <v>1</v>
      </c>
      <c r="H7" s="5" t="s">
        <v>30</v>
      </c>
      <c r="J7" s="9" t="s">
        <v>19</v>
      </c>
      <c r="K7" s="9">
        <f>SUMIFS(CampaignTable[Conversions],CampaignTable[Platform],Dashboard!$C$21,CampaignTable[Month],'Dashboard Calculations'!J7)</f>
        <v>68</v>
      </c>
    </row>
    <row r="8" spans="4:11" x14ac:dyDescent="0.35">
      <c r="D8" s="7" t="s">
        <v>29</v>
      </c>
      <c r="E8" s="7">
        <f>SUMIF(CampaignTable[Platform],'Campaign Data'!B10,CampaignTable[Conversions])</f>
        <v>376</v>
      </c>
      <c r="G8" s="7" t="s">
        <v>8</v>
      </c>
      <c r="H8" s="8">
        <f>SUMIF(CampaignTable[Platform],'Campaign Data'!B5,CampaignTable[Spend (₹)])/SUMIF(CampaignTable[Platform],'Campaign Data'!B5,CampaignTable[Conversions])</f>
        <v>170.8860759493671</v>
      </c>
      <c r="J8" s="9" t="s">
        <v>20</v>
      </c>
      <c r="K8" s="9">
        <f>SUMIFS(CampaignTable[Conversions],CampaignTable[Platform],Dashboard!$C$21,CampaignTable[Month],'Dashboard Calculations'!J8)</f>
        <v>143</v>
      </c>
    </row>
    <row r="9" spans="4:11" x14ac:dyDescent="0.35">
      <c r="G9" s="7" t="s">
        <v>11</v>
      </c>
      <c r="H9" s="8">
        <f>SUMIF(CampaignTable[Platform],'Campaign Data'!B6,CampaignTable[Spend (₹)])/SUMIF(CampaignTable[Platform],'Campaign Data'!B6,CampaignTable[Conversions])</f>
        <v>158.90850722311396</v>
      </c>
      <c r="J9" s="9" t="s">
        <v>21</v>
      </c>
      <c r="K9" s="9">
        <f>SUMIFS(CampaignTable[Conversions],CampaignTable[Platform],Dashboard!$C$21,CampaignTable[Month],'Dashboard Calculations'!J9)</f>
        <v>56</v>
      </c>
    </row>
    <row r="10" spans="4:11" x14ac:dyDescent="0.35">
      <c r="G10" s="7" t="s">
        <v>29</v>
      </c>
      <c r="H10" s="8">
        <f>SUMIF(CampaignTable[Platform],'Campaign Data'!B7,CampaignTable[Spend (₹)])/SUMIF(CampaignTable[Platform],'Campaign Data'!B7,CampaignTable[Conversions])</f>
        <v>164.89361702127658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Campaign Data</vt:lpstr>
      <vt:lpstr>Dashboard</vt:lpstr>
      <vt:lpstr>Dashboard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shuchi bhargava</cp:lastModifiedBy>
  <dcterms:created xsi:type="dcterms:W3CDTF">2026-10-08T23:56:32Z</dcterms:created>
  <dcterms:modified xsi:type="dcterms:W3CDTF">2026-10-11T10:34:13Z</dcterms:modified>
</cp:coreProperties>
</file>